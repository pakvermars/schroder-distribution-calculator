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박형주\Desktop\슈로더 펀드 분배금\"/>
    </mc:Choice>
  </mc:AlternateContent>
  <xr:revisionPtr revIDLastSave="0" documentId="13_ncr:1_{F400236C-5FC7-4717-99F3-6F81E02B71B5}" xr6:coauthVersionLast="36" xr6:coauthVersionMax="36" xr10:uidLastSave="{00000000-0000-0000-0000-000000000000}"/>
  <bookViews>
    <workbookView xWindow="0" yWindow="0" windowWidth="28800" windowHeight="14415" xr2:uid="{00000000-000D-0000-FFFF-FFFF00000000}"/>
  </bookViews>
  <sheets>
    <sheet name="월분배금 계산" sheetId="1" r:id="rId1"/>
  </sheets>
  <calcPr calcId="191029"/>
</workbook>
</file>

<file path=xl/calcChain.xml><?xml version="1.0" encoding="utf-8"?>
<calcChain xmlns="http://schemas.openxmlformats.org/spreadsheetml/2006/main">
  <c r="B12" i="1" l="1"/>
  <c r="C12" i="1" l="1"/>
  <c r="B6" i="1"/>
  <c r="B11" i="1" s="1"/>
  <c r="D11" i="1" l="1"/>
  <c r="D12" i="1" s="1"/>
  <c r="C11" i="1"/>
  <c r="E11" i="1" s="1"/>
  <c r="E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E5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배당소득세 14% + 지방소득세 1.4% = 15.4% (일반과세 기준)</t>
        </r>
      </text>
    </comment>
  </commentList>
</comments>
</file>

<file path=xl/sharedStrings.xml><?xml version="1.0" encoding="utf-8"?>
<sst xmlns="http://schemas.openxmlformats.org/spreadsheetml/2006/main" count="18" uniqueCount="18">
  <si>
    <t>기준가(원)</t>
  </si>
  <si>
    <t>매입금액(원)</t>
  </si>
  <si>
    <t>매입좌수(좌)</t>
  </si>
  <si>
    <t>월간(세전)</t>
  </si>
  <si>
    <t>월간(세후)</t>
  </si>
  <si>
    <t>연간(세전)</t>
  </si>
  <si>
    <t>연간(세후)</t>
  </si>
  <si>
    <t>매입금액 대비 월 분배금(원)</t>
  </si>
  <si>
    <t>매입금액 대비 분배율(연)</t>
  </si>
  <si>
    <t>배당소득세율</t>
  </si>
  <si>
    <t>※ 노란 칸(기준가, 매입금액, 1000좌당 월 분배금)과 파란 글씨 칸만 입력하면 나머지는 자동 계산됩니다.</t>
  </si>
  <si>
    <t>※ 매입좌수 = 매입금액 ÷ 기준가 × 1000 / 월 분배금 = 매입좌수 ÷ 1000 × 1000좌당 분배금</t>
  </si>
  <si>
    <t>※ 분배율(연) = 1000좌당 월 분배금 × 12 ÷ 기준가 / 세후 = 세전 × (1 − 세율)</t>
  </si>
  <si>
    <t>1,000좌당 월분배금</t>
    <phoneticPr fontId="7" type="noConversion"/>
  </si>
  <si>
    <t>★기준가 및 매입금액 입력 시 분배금 및 분배율 자동 계산</t>
    <phoneticPr fontId="7" type="noConversion"/>
  </si>
  <si>
    <t>구분</t>
    <phoneticPr fontId="7" type="noConversion"/>
  </si>
  <si>
    <t xml:space="preserve">☆☆ 분배금 및 분배율 </t>
    <phoneticPr fontId="7" type="noConversion"/>
  </si>
  <si>
    <t>키움슈로더월지급펀드 분배금 계산기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</si>
</sst>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10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9"/>
      <color rgb="FF59595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9"/>
      <color rgb="FF595959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0" xfId="0" applyFont="1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2" fillId="0" borderId="1" xfId="0" applyFont="1" applyBorder="1" applyAlignment="1">
      <alignment horizontal="center" vertical="center"/>
    </xf>
    <xf numFmtId="4" fontId="3" fillId="2" borderId="2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177" fontId="3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/>
    </xf>
    <xf numFmtId="3" fontId="4" fillId="0" borderId="2" xfId="0" applyNumberFormat="1" applyFont="1" applyBorder="1" applyAlignment="1">
      <alignment horizontal="right" vertical="center"/>
    </xf>
    <xf numFmtId="10" fontId="5" fillId="0" borderId="2" xfId="0" applyNumberFormat="1" applyFont="1" applyBorder="1" applyAlignment="1">
      <alignment horizontal="right" vertical="center"/>
    </xf>
    <xf numFmtId="10" fontId="4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76" fontId="8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9" fillId="0" borderId="0" xfId="0" applyFont="1"/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20" sqref="E20"/>
    </sheetView>
  </sheetViews>
  <sheetFormatPr defaultRowHeight="16.5"/>
  <cols>
    <col min="1" max="5" width="28.5" customWidth="1"/>
  </cols>
  <sheetData>
    <row r="1" spans="1:5" ht="20.25">
      <c r="A1" s="4" t="s">
        <v>17</v>
      </c>
      <c r="B1" s="5"/>
      <c r="C1" s="5"/>
      <c r="D1" s="5"/>
      <c r="E1" s="5"/>
    </row>
    <row r="2" spans="1:5" s="3" customFormat="1" ht="20.25">
      <c r="A2" s="2"/>
    </row>
    <row r="3" spans="1:5" s="3" customFormat="1" ht="17.25" thickBot="1">
      <c r="A3" s="3" t="s">
        <v>14</v>
      </c>
    </row>
    <row r="4" spans="1:5" ht="17.25" thickBot="1">
      <c r="A4" s="15" t="s">
        <v>0</v>
      </c>
      <c r="B4" s="7">
        <v>1000</v>
      </c>
      <c r="C4" s="6"/>
      <c r="D4" s="17" t="s">
        <v>13</v>
      </c>
      <c r="E4" s="23">
        <v>4.58</v>
      </c>
    </row>
    <row r="5" spans="1:5" ht="17.25" thickBot="1">
      <c r="A5" s="15" t="s">
        <v>1</v>
      </c>
      <c r="B5" s="8">
        <v>300000000</v>
      </c>
      <c r="D5" s="18" t="s">
        <v>9</v>
      </c>
      <c r="E5" s="10">
        <v>0.154</v>
      </c>
    </row>
    <row r="6" spans="1:5" ht="17.25" thickBot="1">
      <c r="A6" s="11" t="s">
        <v>2</v>
      </c>
      <c r="B6" s="9">
        <f>IF(B4&gt;0,B5/B4*1000,0)</f>
        <v>300000000</v>
      </c>
    </row>
    <row r="8" spans="1:5" s="3" customFormat="1">
      <c r="A8" s="19" t="s">
        <v>16</v>
      </c>
    </row>
    <row r="9" spans="1:5" s="3" customFormat="1" ht="17.25" thickBot="1"/>
    <row r="10" spans="1:5" s="3" customFormat="1" ht="17.25" thickBot="1">
      <c r="A10" s="21" t="s">
        <v>15</v>
      </c>
      <c r="B10" s="22" t="s">
        <v>3</v>
      </c>
      <c r="C10" s="22" t="s">
        <v>4</v>
      </c>
      <c r="D10" s="22" t="s">
        <v>5</v>
      </c>
      <c r="E10" s="22" t="s">
        <v>6</v>
      </c>
    </row>
    <row r="11" spans="1:5" s="3" customFormat="1" ht="17.25" thickBot="1">
      <c r="A11" s="16" t="s">
        <v>7</v>
      </c>
      <c r="B11" s="12">
        <f>B6/1000*E4</f>
        <v>1374000</v>
      </c>
      <c r="C11" s="12">
        <f>B11*(1-$E$5)</f>
        <v>1162404</v>
      </c>
      <c r="D11" s="12">
        <f>B11*12</f>
        <v>16488000</v>
      </c>
      <c r="E11" s="12">
        <f>C11*12</f>
        <v>13948848</v>
      </c>
    </row>
    <row r="12" spans="1:5" s="3" customFormat="1" ht="17.25" thickBot="1">
      <c r="A12" s="16" t="s">
        <v>8</v>
      </c>
      <c r="B12" s="13">
        <f>IF(B4&gt;0,E4*12/B4,0)</f>
        <v>5.4960000000000002E-2</v>
      </c>
      <c r="C12" s="14">
        <f>B12*(1-$E$5)</f>
        <v>4.6496160000000002E-2</v>
      </c>
      <c r="D12" s="14">
        <f>IF(B5&gt;0,D11/B5,0)</f>
        <v>5.4960000000000002E-2</v>
      </c>
      <c r="E12" s="14">
        <f>IF(B5&gt;0,E11/B5,0)</f>
        <v>4.6496160000000002E-2</v>
      </c>
    </row>
    <row r="13" spans="1:5" s="3" customFormat="1"/>
    <row r="14" spans="1:5">
      <c r="A14" s="20" t="s">
        <v>10</v>
      </c>
    </row>
    <row r="15" spans="1:5">
      <c r="A15" s="1" t="s">
        <v>11</v>
      </c>
    </row>
    <row r="16" spans="1:5">
      <c r="A16" s="1" t="s">
        <v>12</v>
      </c>
    </row>
    <row r="17" spans="1:1">
      <c r="A17" s="1"/>
    </row>
  </sheetData>
  <mergeCells count="1">
    <mergeCell ref="A1:E1"/>
  </mergeCells>
  <phoneticPr fontId="7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월분배금 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형주</cp:lastModifiedBy>
  <dcterms:created xsi:type="dcterms:W3CDTF">2026-10-10T02:34:39Z</dcterms:created>
  <dcterms:modified xsi:type="dcterms:W3CDTF">2026-10-10T02:46:39Z</dcterms:modified>
</cp:coreProperties>
</file>